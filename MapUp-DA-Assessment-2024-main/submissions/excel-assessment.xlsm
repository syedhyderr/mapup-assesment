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habaz\Downloads\MapUp-DA-Assessment-2024-main\MapUp-DA-Assessment-2024-main\"/>
    </mc:Choice>
  </mc:AlternateContent>
  <xr:revisionPtr revIDLastSave="0" documentId="13_ncr:1_{EB38EA85-F62E-46AF-A676-11BA1846A722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5" l="1"/>
  <c r="F30" i="18"/>
  <c r="E30" i="18"/>
  <c r="D30" i="18"/>
  <c r="C30" i="18"/>
  <c r="B30" i="18"/>
  <c r="F29" i="18"/>
  <c r="E29" i="18"/>
  <c r="D29" i="18"/>
  <c r="C29" i="18"/>
  <c r="B29" i="18"/>
  <c r="F28" i="18"/>
  <c r="E28" i="18"/>
  <c r="D28" i="18"/>
  <c r="C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C35" i="20"/>
  <c r="C34" i="20"/>
  <c r="C33" i="20"/>
  <c r="C32" i="20"/>
  <c r="C31" i="20"/>
  <c r="C30" i="20"/>
  <c r="C25" i="20"/>
  <c r="C24" i="20"/>
  <c r="C29" i="20"/>
  <c r="C26" i="20"/>
  <c r="C28" i="20"/>
  <c r="C27" i="20"/>
  <c r="C23" i="20"/>
  <c r="C22" i="19" a="1"/>
  <c r="C22" i="19" s="1"/>
  <c r="AB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<sst xmlns="http://schemas.openxmlformats.org/spreadsheetml/2006/main" count="400" uniqueCount="181">
  <si>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</si>
  <si>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</si>
  <si>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</si>
  <si>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</si>
  <si>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</si>
  <si>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</si>
  <si>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</si>
  <si>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</si>
  <si>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</si>
  <si>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</si>
  <si>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</si>
  <si>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</si>
  <si>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</si>
  <si>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</si>
  <si>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</si>
  <si>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</si>
  <si>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</si>
  <si>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</si>
  <si>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</si>
  <si>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</si>
  <si>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</si>
  <si>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</si>
  <si>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</si>
  <si>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</si>
  <si>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</si>
  <si>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</si>
  <si>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</si>
  <si>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</si>
  <si>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</si>
  <si>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</si>
  <si>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</si>
  <si>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</si>
  <si>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</si>
  <si>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</si>
  <si>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</si>
  <si>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</si>
  <si>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</si>
  <si>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</si>
  <si>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</si>
  <si>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</si>
  <si>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</si>
  <si>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</si>
  <si>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</si>
  <si>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</si>
  <si>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</si>
  <si>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</si>
  <si>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</si>
  <si>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</si>
  <si>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</si>
  <si>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</si>
  <si>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</si>
  <si>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</si>
  <si>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</si>
  <si>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</si>
  <si>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</si>
  <si>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</si>
  <si>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</si>
  <si>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</si>
  <si>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</si>
  <si>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</si>
  <si>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</si>
  <si>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</si>
  <si>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</si>
  <si>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</si>
  <si>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</si>
  <si>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</si>
  <si>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</si>
  <si>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</si>
  <si>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</si>
  <si>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</si>
  <si>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</si>
  <si>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</si>
  <si>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</si>
  <si>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</si>
  <si>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</si>
  <si>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</si>
  <si>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</si>
  <si>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</si>
  <si>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</si>
  <si>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</si>
  <si>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</si>
  <si>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</si>
  <si>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</si>
  <si>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</si>
  <si>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</si>
  <si>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</si>
  <si>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</si>
  <si>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</si>
  <si>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</si>
  <si>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</si>
  <si>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</si>
  <si>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</si>
  <si>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</si>
  <si>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</si>
  <si>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</si>
  <si>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</si>
  <si>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</si>
  <si>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</si>
  <si>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</si>
  <si>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</si>
  <si>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</si>
  <si>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</si>
  <si>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</si>
  <si>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</si>
  <si>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</si>
  <si>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</si>
  <si>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</si>
  <si>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</si>
  <si>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</si>
  <si>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</si>
  <si>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</si>
  <si>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</si>
  <si>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</si>
  <si>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</si>
  <si>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</si>
  <si>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</si>
  <si>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</si>
  <si>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</si>
  <si>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</si>
  <si>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</si>
  <si>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</si>
  <si>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</si>
  <si>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</si>
  <si>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</si>
  <si>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</si>
  <si>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</si>
  <si>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</si>
  <si>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</si>
  <si>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</si>
  <si>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</si>
  <si>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</si>
  <si>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</si>
  <si>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</si>
  <si>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</si>
  <si>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</si>
  <si>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</si>
  <si>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</si>
  <si>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</si>
  <si>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</si>
  <si>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</si>
  <si>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</si>
  <si>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</si>
  <si>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</si>
  <si>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</si>
  <si>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</si>
  <si>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</si>
  <si>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</si>
  <si>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</si>
  <si>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</si>
  <si>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</si>
  <si>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</si>
  <si>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</si>
  <si>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</si>
  <si>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</si>
  <si>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</si>
  <si>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</si>
  <si>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</si>
  <si>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</si>
  <si>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</si>
  <si>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</si>
  <si>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</si>
  <si>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</si>
  <si>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</si>
  <si>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</si>
  <si>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</si>
  <si>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</si>
  <si>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</si>
  <si>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</si>
  <si>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</si>
  <si>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</si>
  <si>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</si>
  <si>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</si>
  <si>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</si>
  <si>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</si>
  <si>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</si>
  <si>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Formula/Functionality used: text to columns functionality</t>
  </si>
  <si>
    <t xml:space="preserve">Explanation: text to columns function splits the data when we give the dilimited and over here our column  contains data separated by '-' so using that I have split the data </t>
  </si>
  <si>
    <t>Formula/Functionality used: SUM(IFERROR(C12:C21,20))</t>
  </si>
  <si>
    <t>Explanation: When you use if error with sum then the value #N/A error will replace with 20 and gives value</t>
  </si>
  <si>
    <t>Formula/Functionality used: =INDEX(A10:J18, MATCH(TRIM(VLOOKUP(A23, M10:N18, 2, FALSE)), A10:A18, 0), MATCH(TRIM(VLOOKUP(B23, M10:N18, 2, FALSE)), B9:J9, 0))</t>
  </si>
  <si>
    <t xml:space="preserve">Explanation:Vlookup looks up to name assoiciated with name_1 in table B , match is used after retrieving the name from table_b  for name_1,name_2 this part of formula matches against the row headers , index function uses the row number and  column number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</si>
</sst>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19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000000"/>
      <name val="Arial Unicode MS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18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26</xdr:col>
      <xdr:colOff>335280</xdr:colOff>
      <xdr:row>4</xdr:row>
      <xdr:rowOff>53340</xdr:rowOff>
    </xdr:from>
    <xdr:ext cx="2583180" cy="31242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08085D8-6C0C-701F-B640-2F369BA5BEAB}"/>
            </a:ext>
          </a:extLst>
        </xdr:cNvPr>
        <xdr:cNvSpPr txBox="1"/>
      </xdr:nvSpPr>
      <xdr:spPr>
        <a:xfrm>
          <a:off x="25146000" y="784860"/>
          <a:ext cx="2583180" cy="3124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IN" sz="1600">
              <a:solidFill>
                <a:schemeClr val="accent1">
                  <a:lumMod val="75000"/>
                </a:schemeClr>
              </a:solidFill>
            </a:rPr>
            <a:t>sum of value</a:t>
          </a:r>
          <a:r>
            <a:rPr lang="en-IN" sz="1600" baseline="0">
              <a:solidFill>
                <a:schemeClr val="accent1">
                  <a:lumMod val="75000"/>
                </a:schemeClr>
              </a:solidFill>
            </a:rPr>
            <a:t> &gt; 20 in h2</a:t>
          </a:r>
          <a:endParaRPr lang="en-IN" sz="1600">
            <a:solidFill>
              <a:schemeClr val="accent1">
                <a:lumMod val="75000"/>
              </a:schemeClr>
            </a:solidFill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/>
  <cols>
    <col min="1" max="1" width="70.77734375" style="2" bestFit="1" customWidth="1"/>
    <col min="2" max="16384" width="11" style="2"/>
  </cols>
  <sheetData>
    <row r="1" spans="1:3" ht="18">
      <c r="A1" s="39" t="s">
        <v>107</v>
      </c>
    </row>
    <row r="2" spans="1:3">
      <c r="A2" s="2" t="s">
        <v>108</v>
      </c>
    </row>
    <row r="3" spans="1:3">
      <c r="A3" s="2" t="s">
        <v>109</v>
      </c>
    </row>
    <row r="4" spans="1:3" ht="14.4">
      <c r="A4" s="2" t="s">
        <v>174</v>
      </c>
      <c r="C4" s="1"/>
    </row>
    <row r="5" spans="1:3">
      <c r="A5" s="2" t="s">
        <v>150</v>
      </c>
    </row>
    <row r="8" spans="1:3">
      <c r="A8" s="2" t="s">
        <v>170</v>
      </c>
    </row>
    <row r="9" spans="1:3">
      <c r="A9" s="36" t="s">
        <v>168</v>
      </c>
      <c r="B9" s="26" t="s">
        <v>166</v>
      </c>
    </row>
    <row r="10" spans="1:3">
      <c r="A10" s="35" t="s">
        <v>169</v>
      </c>
      <c r="B10" s="37">
        <v>25</v>
      </c>
    </row>
    <row r="11" spans="1:3">
      <c r="A11" s="35" t="s">
        <v>54</v>
      </c>
      <c r="B11" s="37">
        <v>30</v>
      </c>
    </row>
    <row r="12" spans="1:3">
      <c r="A12" s="35" t="s">
        <v>55</v>
      </c>
      <c r="B12" s="37">
        <v>10</v>
      </c>
    </row>
    <row r="13" spans="1:3">
      <c r="A13" s="35" t="s">
        <v>84</v>
      </c>
      <c r="B13" s="37">
        <v>20</v>
      </c>
    </row>
    <row r="14" spans="1:3">
      <c r="A14" s="35" t="s">
        <v>97</v>
      </c>
      <c r="B14" s="37">
        <v>40</v>
      </c>
    </row>
    <row r="15" spans="1:3">
      <c r="A15" s="38" t="s">
        <v>167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B40"/>
  <sheetViews>
    <sheetView topLeftCell="J1" zoomScaleNormal="100" workbookViewId="0">
      <pane ySplit="1" topLeftCell="A2" activePane="bottomLeft" state="frozen"/>
      <selection pane="bottomLeft" sqref="A1:X40"/>
    </sheetView>
  </sheetViews>
  <sheetFormatPr defaultColWidth="9" defaultRowHeight="14.4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6" bestFit="1" customWidth="1"/>
    <col min="25" max="16384" width="9" style="1"/>
  </cols>
  <sheetData>
    <row r="1" spans="1:28" s="3" customFormat="1" ht="14.7" customHeight="1">
      <c r="A1" s="27" t="s">
        <v>63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78</v>
      </c>
      <c r="H1" s="29" t="s">
        <v>64</v>
      </c>
      <c r="I1" s="29" t="s">
        <v>65</v>
      </c>
      <c r="J1" s="30" t="s">
        <v>66</v>
      </c>
      <c r="K1" s="30" t="s">
        <v>67</v>
      </c>
      <c r="L1" s="30" t="s">
        <v>68</v>
      </c>
      <c r="M1" s="29" t="s">
        <v>69</v>
      </c>
      <c r="N1" s="29" t="s">
        <v>70</v>
      </c>
      <c r="O1" s="29" t="s">
        <v>71</v>
      </c>
      <c r="P1" s="30" t="s">
        <v>72</v>
      </c>
      <c r="Q1" s="30" t="s">
        <v>73</v>
      </c>
      <c r="R1" s="30" t="s">
        <v>74</v>
      </c>
      <c r="S1" s="29" t="s">
        <v>79</v>
      </c>
      <c r="T1" s="29" t="s">
        <v>75</v>
      </c>
      <c r="U1" s="30" t="s">
        <v>80</v>
      </c>
      <c r="V1" s="30" t="s">
        <v>76</v>
      </c>
      <c r="W1" s="30" t="s">
        <v>77</v>
      </c>
      <c r="X1" s="45" t="s">
        <v>104</v>
      </c>
    </row>
    <row r="2" spans="1:28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8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8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8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8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8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  <c r="AB7" s="1">
        <f>SUMIF(H:H, "&gt;20")</f>
        <v>1473.0000000000002</v>
      </c>
    </row>
    <row r="8" spans="1:28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8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8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8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8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8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8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8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8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>
      <c r="A27" s="1" t="s">
        <v>56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>
      <c r="A30" s="1" t="s">
        <v>57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40">
    <cfRule type="cellIs" dxfId="1" priority="2" operator="equal">
      <formula>-1</formula>
    </cfRule>
  </conditionalFormatting>
  <conditionalFormatting sqref="G2:X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5" sqref="C5"/>
    </sheetView>
  </sheetViews>
  <sheetFormatPr defaultColWidth="11" defaultRowHeight="14.4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>
      <c r="A1" s="4" t="s">
        <v>47</v>
      </c>
      <c r="B1" s="4" t="s">
        <v>48</v>
      </c>
      <c r="C1" s="4" t="s">
        <v>44</v>
      </c>
      <c r="E1" s="4" t="s">
        <v>173</v>
      </c>
    </row>
    <row r="2" spans="1:5">
      <c r="A2" s="2"/>
      <c r="B2" s="5" t="s">
        <v>157</v>
      </c>
      <c r="C2" s="2"/>
    </row>
    <row r="3" spans="1:5">
      <c r="A3" s="6">
        <v>1</v>
      </c>
      <c r="B3" s="2" t="s">
        <v>106</v>
      </c>
      <c r="C3" s="2" t="s">
        <v>45</v>
      </c>
      <c r="E3" s="1">
        <v>5</v>
      </c>
    </row>
    <row r="4" spans="1:5">
      <c r="A4" s="6">
        <v>2</v>
      </c>
      <c r="B4" s="2" t="s">
        <v>46</v>
      </c>
      <c r="C4" s="2"/>
      <c r="E4" s="1">
        <v>5</v>
      </c>
    </row>
    <row r="5" spans="1:5">
      <c r="A5" s="6">
        <v>3</v>
      </c>
      <c r="B5" s="2" t="s">
        <v>103</v>
      </c>
      <c r="C5" s="34">
        <f>SUMIF(H:H, "&gt;20")</f>
        <v>0</v>
      </c>
      <c r="E5" s="1">
        <v>10</v>
      </c>
    </row>
    <row r="6" spans="1:5">
      <c r="A6" s="6">
        <v>4</v>
      </c>
      <c r="B6" s="2" t="s">
        <v>105</v>
      </c>
      <c r="C6" s="2"/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F31" sqref="F31"/>
    </sheetView>
  </sheetViews>
  <sheetFormatPr defaultColWidth="11" defaultRowHeight="13.8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>
      <c r="A1" s="42" t="s">
        <v>54</v>
      </c>
      <c r="B1" s="41" t="s">
        <v>161</v>
      </c>
    </row>
    <row r="2" spans="1:7" s="41" customFormat="1" ht="21">
      <c r="B2" s="41" t="s">
        <v>158</v>
      </c>
    </row>
    <row r="3" spans="1:7" ht="14.4">
      <c r="A3" s="1"/>
      <c r="B3" s="1"/>
      <c r="C3" s="1"/>
      <c r="D3" s="1"/>
      <c r="E3" s="1"/>
      <c r="F3" s="1"/>
      <c r="G3" s="1"/>
    </row>
    <row r="4" spans="1:7" ht="23.4">
      <c r="A4" s="18" t="s">
        <v>159</v>
      </c>
      <c r="B4" s="1"/>
      <c r="C4" s="1"/>
      <c r="D4" s="1"/>
      <c r="E4" s="1"/>
      <c r="F4" s="1"/>
      <c r="G4" s="1"/>
    </row>
    <row r="5" spans="1:7" ht="14.4">
      <c r="A5" s="20" t="s">
        <v>63</v>
      </c>
      <c r="B5" s="21" t="s">
        <v>78</v>
      </c>
      <c r="C5" s="22" t="s">
        <v>70</v>
      </c>
      <c r="D5" s="21" t="s">
        <v>74</v>
      </c>
      <c r="E5" s="22" t="s">
        <v>75</v>
      </c>
      <c r="F5" s="23" t="s">
        <v>76</v>
      </c>
    </row>
    <row r="6" spans="1:7" ht="14.4">
      <c r="A6" s="7" t="s">
        <v>40</v>
      </c>
      <c r="B6" s="12">
        <f>VLOOKUP($A6, Dataset!$A:$H, 7, FALSE)</f>
        <v>2.7</v>
      </c>
      <c r="C6" s="12">
        <f>VLOOKUP($A6, Dataset!$A:$N, 13, FALSE)</f>
        <v>5.3</v>
      </c>
      <c r="D6" s="12">
        <f>VLOOKUP($A6, Dataset!$A:$Q, 16, FALSE)</f>
        <v>2.7</v>
      </c>
      <c r="E6" s="12">
        <f>VLOOKUP($A6, Dataset!$A:$T, 19, FALSE)</f>
        <v>7.6</v>
      </c>
      <c r="F6" s="8">
        <f>VLOOKUP($A6, Dataset!$A:$V, 21, FALSE)</f>
        <v>3.6</v>
      </c>
    </row>
    <row r="7" spans="1:7" ht="14.4">
      <c r="A7" s="7" t="s">
        <v>4</v>
      </c>
      <c r="B7" s="12">
        <f>VLOOKUP($A7, Dataset!$A:$H, 7, FALSE)</f>
        <v>2.7</v>
      </c>
      <c r="C7" s="12">
        <f>VLOOKUP($A7, Dataset!$A:$N, 13, FALSE)</f>
        <v>5.3</v>
      </c>
      <c r="D7" s="12">
        <f>VLOOKUP($A7, Dataset!$A:$Q, 16, FALSE)</f>
        <v>2.7</v>
      </c>
      <c r="E7" s="12">
        <f>VLOOKUP($A7, Dataset!$A:$T, 19, FALSE)</f>
        <v>7.6</v>
      </c>
      <c r="F7" s="8">
        <f>VLOOKUP($A7, Dataset!$A:$V, 21, FALSE)</f>
        <v>3.6</v>
      </c>
    </row>
    <row r="8" spans="1:7" ht="14.4">
      <c r="A8" s="7" t="s">
        <v>7</v>
      </c>
      <c r="B8" s="12">
        <f>VLOOKUP($A8, Dataset!$A:$H, 7, FALSE)</f>
        <v>3.6</v>
      </c>
      <c r="C8" s="12">
        <f>VLOOKUP($A8, Dataset!$A:$N, 13, FALSE)</f>
        <v>7.6</v>
      </c>
      <c r="D8" s="12">
        <f>VLOOKUP($A8, Dataset!$A:$Q, 16, FALSE)</f>
        <v>3.6</v>
      </c>
      <c r="E8" s="12">
        <f>VLOOKUP($A8, Dataset!$A:$T, 19, FALSE)</f>
        <v>11.1</v>
      </c>
      <c r="F8" s="8">
        <f>VLOOKUP($A8, Dataset!$A:$V, 21, FALSE)</f>
        <v>5.4</v>
      </c>
    </row>
    <row r="9" spans="1:7" ht="14.4">
      <c r="A9" s="7" t="s">
        <v>8</v>
      </c>
      <c r="B9" s="12">
        <f>VLOOKUP($A9, Dataset!$A:$H, 7, FALSE)</f>
        <v>4.9000000000000004</v>
      </c>
      <c r="C9" s="12">
        <f>VLOOKUP($A9, Dataset!$A:$N, 13, FALSE)</f>
        <v>10</v>
      </c>
      <c r="D9" s="12">
        <f>VLOOKUP($A9, Dataset!$A:$Q, 16, FALSE)</f>
        <v>4.9000000000000004</v>
      </c>
      <c r="E9" s="12">
        <f>VLOOKUP($A9, Dataset!$A:$T, 19, FALSE)</f>
        <v>13.3</v>
      </c>
      <c r="F9" s="8">
        <f>VLOOKUP($A9, Dataset!$A:$V, 21, FALSE)</f>
        <v>6.6</v>
      </c>
    </row>
    <row r="10" spans="1:7" ht="14.4">
      <c r="A10" s="7" t="s">
        <v>11</v>
      </c>
      <c r="B10" s="12">
        <f>VLOOKUP($A10, Dataset!$A:$H, 7, FALSE)</f>
        <v>9.4</v>
      </c>
      <c r="C10" s="12">
        <f>VLOOKUP($A10, Dataset!$A:$N, 13, FALSE)</f>
        <v>19.2</v>
      </c>
      <c r="D10" s="12">
        <f>VLOOKUP($A10, Dataset!$A:$Q, 16, FALSE)</f>
        <v>9.4</v>
      </c>
      <c r="E10" s="12">
        <f>VLOOKUP($A10, Dataset!$A:$T, 19, FALSE)</f>
        <v>28.3</v>
      </c>
      <c r="F10" s="8">
        <f>VLOOKUP($A10, Dataset!$A:$V, 21, FALSE)</f>
        <v>13.8</v>
      </c>
    </row>
    <row r="11" spans="1:7" ht="14.4">
      <c r="A11" s="7" t="s">
        <v>12</v>
      </c>
      <c r="B11" s="12">
        <f>VLOOKUP($A11, Dataset!$A:$H, 7, FALSE)</f>
        <v>11.6</v>
      </c>
      <c r="C11" s="12">
        <f>VLOOKUP($A11, Dataset!$A:$N, 13, FALSE)</f>
        <v>23.6</v>
      </c>
      <c r="D11" s="12">
        <f>VLOOKUP($A11, Dataset!$A:$Q, 16, FALSE)</f>
        <v>11.6</v>
      </c>
      <c r="E11" s="12">
        <f>VLOOKUP($A11, Dataset!$A:$T, 19, FALSE)</f>
        <v>35.200000000000003</v>
      </c>
      <c r="F11" s="8">
        <f>VLOOKUP($A11, Dataset!$A:$V, 21, FALSE)</f>
        <v>17.3</v>
      </c>
    </row>
    <row r="12" spans="1:7" ht="14.4">
      <c r="A12" s="7" t="s">
        <v>14</v>
      </c>
      <c r="B12" s="12">
        <f>VLOOKUP($A12, Dataset!$A:$H, 7, FALSE)</f>
        <v>18.399999999999999</v>
      </c>
      <c r="C12" s="12">
        <f>VLOOKUP($A12, Dataset!$A:$N, 13, FALSE)</f>
        <v>37.200000000000003</v>
      </c>
      <c r="D12" s="12">
        <f>VLOOKUP($A12, Dataset!$A:$Q, 16, FALSE)</f>
        <v>18.399999999999999</v>
      </c>
      <c r="E12" s="12">
        <f>VLOOKUP($A12, Dataset!$A:$T, 19, FALSE)</f>
        <v>55.6</v>
      </c>
      <c r="F12" s="8">
        <f>VLOOKUP($A12, Dataset!$A:$V, 21, FALSE)</f>
        <v>27.5</v>
      </c>
    </row>
    <row r="13" spans="1:7" ht="14.4">
      <c r="A13" s="7" t="s">
        <v>15</v>
      </c>
      <c r="B13" s="12">
        <f>VLOOKUP($A13, Dataset!$A:$H, 7, FALSE)</f>
        <v>0</v>
      </c>
      <c r="C13" s="12">
        <f>VLOOKUP($A13, Dataset!$A:$N, 13, FALSE)</f>
        <v>0</v>
      </c>
      <c r="D13" s="12">
        <f>VLOOKUP($A13, Dataset!$A:$Q, 16, FALSE)</f>
        <v>0</v>
      </c>
      <c r="E13" s="12">
        <f>VLOOKUP($A13, Dataset!$A:$T, 19, FALSE)</f>
        <v>0</v>
      </c>
      <c r="F13" s="8">
        <f>VLOOKUP($A13, Dataset!$A:$V, 21, FALSE)</f>
        <v>0</v>
      </c>
    </row>
    <row r="14" spans="1:7" ht="14.4">
      <c r="A14" s="7" t="s">
        <v>16</v>
      </c>
      <c r="B14" s="12">
        <f>VLOOKUP($A14, Dataset!$A:$H, 7, FALSE)</f>
        <v>21.9</v>
      </c>
      <c r="C14" s="12">
        <f>VLOOKUP($A14, Dataset!$A:$N, 13, FALSE)</f>
        <v>42.3</v>
      </c>
      <c r="D14" s="12">
        <f>VLOOKUP($A14, Dataset!$A:$Q, 16, FALSE)</f>
        <v>21.9</v>
      </c>
      <c r="E14" s="12">
        <f>VLOOKUP($A14, Dataset!$A:$T, 19, FALSE)</f>
        <v>61.5</v>
      </c>
      <c r="F14" s="8">
        <f>VLOOKUP($A14, Dataset!$A:$V, 21, FALSE)</f>
        <v>32.1</v>
      </c>
    </row>
    <row r="15" spans="1:7" ht="14.4">
      <c r="A15" s="7" t="s">
        <v>18</v>
      </c>
      <c r="B15" s="12">
        <f>VLOOKUP($A15, Dataset!$A:$H, 7, FALSE)</f>
        <v>26.8</v>
      </c>
      <c r="C15" s="12">
        <f>VLOOKUP($A15, Dataset!$A:$N, 13, FALSE)</f>
        <v>54.6</v>
      </c>
      <c r="D15" s="12">
        <f>VLOOKUP($A15, Dataset!$A:$Q, 16, FALSE)</f>
        <v>26.8</v>
      </c>
      <c r="E15" s="12">
        <f>VLOOKUP($A15, Dataset!$A:$T, 19, FALSE)</f>
        <v>79.599999999999994</v>
      </c>
      <c r="F15" s="8">
        <f>VLOOKUP($A15, Dataset!$A:$V, 21, FALSE)</f>
        <v>39.299999999999997</v>
      </c>
    </row>
    <row r="16" spans="1:7" ht="14.4">
      <c r="A16" s="7" t="s">
        <v>20</v>
      </c>
      <c r="B16" s="12">
        <f>VLOOKUP($A16, Dataset!$A:$H, 7, FALSE)</f>
        <v>28.5</v>
      </c>
      <c r="C16" s="12">
        <f>VLOOKUP($A16, Dataset!$A:$N, 13, FALSE)</f>
        <v>58.3</v>
      </c>
      <c r="D16" s="12">
        <f>VLOOKUP($A16, Dataset!$A:$Q, 16, FALSE)</f>
        <v>28.5</v>
      </c>
      <c r="E16" s="12">
        <f>VLOOKUP($A16, Dataset!$A:$T, 19, FALSE)</f>
        <v>85.4</v>
      </c>
      <c r="F16" s="8">
        <f>VLOOKUP($A16, Dataset!$A:$V, 21, FALSE)</f>
        <v>42.3</v>
      </c>
    </row>
    <row r="17" spans="1:6" ht="14.4">
      <c r="A17" s="7" t="s">
        <v>22</v>
      </c>
      <c r="B17" s="12">
        <f>VLOOKUP($A17, Dataset!$A:$H, 7, FALSE)</f>
        <v>30.7</v>
      </c>
      <c r="C17" s="12">
        <f>VLOOKUP($A17, Dataset!$A:$N, 13, FALSE)</f>
        <v>62.5</v>
      </c>
      <c r="D17" s="12">
        <f>VLOOKUP($A17, Dataset!$A:$Q, 16, FALSE)</f>
        <v>30.7</v>
      </c>
      <c r="E17" s="12">
        <f>VLOOKUP($A17, Dataset!$A:$T, 19, FALSE)</f>
        <v>92.1</v>
      </c>
      <c r="F17" s="8">
        <f>VLOOKUP($A17, Dataset!$A:$V, 21, FALSE)</f>
        <v>45.5</v>
      </c>
    </row>
    <row r="18" spans="1:6" ht="14.4">
      <c r="A18" s="7" t="s">
        <v>23</v>
      </c>
      <c r="B18" s="12">
        <f>VLOOKUP($A18, Dataset!$A:$H, 7, FALSE)</f>
        <v>33.799999999999997</v>
      </c>
      <c r="C18" s="12">
        <f>VLOOKUP($A18, Dataset!$A:$N, 13, FALSE)</f>
        <v>67.900000000000006</v>
      </c>
      <c r="D18" s="12">
        <f>VLOOKUP($A18, Dataset!$A:$Q, 16, FALSE)</f>
        <v>33.799999999999997</v>
      </c>
      <c r="E18" s="12">
        <f>VLOOKUP($A18, Dataset!$A:$T, 19, FALSE)</f>
        <v>101.3</v>
      </c>
      <c r="F18" s="8">
        <f>VLOOKUP($A18, Dataset!$A:$V, 21, FALSE)</f>
        <v>50.1</v>
      </c>
    </row>
    <row r="19" spans="1:6" ht="14.4">
      <c r="A19" s="7" t="s">
        <v>24</v>
      </c>
      <c r="B19" s="12">
        <f>VLOOKUP($A19, Dataset!$A:$H, 7, FALSE)</f>
        <v>34.700000000000003</v>
      </c>
      <c r="C19" s="12">
        <f>VLOOKUP($A19, Dataset!$A:$N, 13, FALSE)</f>
        <v>70.8</v>
      </c>
      <c r="D19" s="12">
        <f>VLOOKUP($A19, Dataset!$A:$Q, 16, FALSE)</f>
        <v>34.700000000000003</v>
      </c>
      <c r="E19" s="12">
        <f>VLOOKUP($A19, Dataset!$A:$T, 19, FALSE)</f>
        <v>106.1</v>
      </c>
      <c r="F19" s="8">
        <f>VLOOKUP($A19, Dataset!$A:$V, 21, FALSE)</f>
        <v>52.3</v>
      </c>
    </row>
    <row r="20" spans="1:6" ht="14.4">
      <c r="A20" s="7" t="s">
        <v>28</v>
      </c>
      <c r="B20" s="12">
        <f>VLOOKUP($A20, Dataset!$A:$H, 7, FALSE)</f>
        <v>0</v>
      </c>
      <c r="C20" s="12">
        <f>VLOOKUP($A20, Dataset!$A:$N, 13, FALSE)</f>
        <v>0</v>
      </c>
      <c r="D20" s="12">
        <f>VLOOKUP($A20, Dataset!$A:$Q, 16, FALSE)</f>
        <v>0</v>
      </c>
      <c r="E20" s="12">
        <f>VLOOKUP($A20, Dataset!$A:$T, 19, FALSE)</f>
        <v>0</v>
      </c>
      <c r="F20" s="8">
        <f>VLOOKUP($A20, Dataset!$A:$V, 21, FALSE)</f>
        <v>0</v>
      </c>
    </row>
    <row r="21" spans="1:6" ht="14.4">
      <c r="A21" s="7" t="s">
        <v>56</v>
      </c>
      <c r="B21" s="12">
        <f>VLOOKUP($A21, Dataset!$A:$H, 7, FALSE)</f>
        <v>41.3</v>
      </c>
      <c r="C21" s="12">
        <f>VLOOKUP($A21, Dataset!$A:$N, 13, FALSE)</f>
        <v>83.5</v>
      </c>
      <c r="D21" s="12">
        <f>VLOOKUP($A21, Dataset!$A:$Q, 16, FALSE)</f>
        <v>41.3</v>
      </c>
      <c r="E21" s="12">
        <f>VLOOKUP($A21, Dataset!$A:$T, 19, FALSE)</f>
        <v>124.4</v>
      </c>
      <c r="F21" s="8">
        <f>VLOOKUP($A21, Dataset!$A:$V, 21, FALSE)</f>
        <v>61.4</v>
      </c>
    </row>
    <row r="22" spans="1:6" ht="14.4">
      <c r="A22" s="7" t="s">
        <v>57</v>
      </c>
      <c r="B22" s="12">
        <f>VLOOKUP($A22, Dataset!$A:$H, 7, FALSE)</f>
        <v>-1</v>
      </c>
      <c r="C22" s="12">
        <f>VLOOKUP($A22, Dataset!$A:$N, 13, FALSE)</f>
        <v>-1</v>
      </c>
      <c r="D22" s="12">
        <f>VLOOKUP($A22, Dataset!$A:$Q, 16, FALSE)</f>
        <v>-1</v>
      </c>
      <c r="E22" s="12">
        <f>VLOOKUP($A22, Dataset!$A:$T, 19, FALSE)</f>
        <v>-1</v>
      </c>
      <c r="F22" s="8">
        <f>VLOOKUP($A22, Dataset!$A:$V, 21, FALSE)</f>
        <v>-1</v>
      </c>
    </row>
    <row r="23" spans="1:6" ht="14.4">
      <c r="A23" s="7" t="s">
        <v>31</v>
      </c>
      <c r="B23" s="12">
        <f>VLOOKUP($A23, Dataset!$A:$H, 7, FALSE)</f>
        <v>45</v>
      </c>
      <c r="C23" s="12">
        <f>VLOOKUP($A23, Dataset!$A:$N, 13, FALSE)</f>
        <v>90.9</v>
      </c>
      <c r="D23" s="12">
        <f>VLOOKUP($A23, Dataset!$A:$Q, 16, FALSE)</f>
        <v>45</v>
      </c>
      <c r="E23" s="12">
        <f>VLOOKUP($A23, Dataset!$A:$T, 19, FALSE)</f>
        <v>133.4</v>
      </c>
      <c r="F23" s="8">
        <f>VLOOKUP($A23, Dataset!$A:$V, 21, FALSE)</f>
        <v>65.900000000000006</v>
      </c>
    </row>
    <row r="24" spans="1:6" ht="14.4">
      <c r="A24" s="7" t="s">
        <v>32</v>
      </c>
      <c r="B24" s="12">
        <f>VLOOKUP($A24, Dataset!$A:$H, 7, FALSE)</f>
        <v>-1</v>
      </c>
      <c r="C24" s="12">
        <f>VLOOKUP($A24, Dataset!$A:$N, 13, FALSE)</f>
        <v>-1</v>
      </c>
      <c r="D24" s="12">
        <f>VLOOKUP($A24, Dataset!$A:$Q, 16, FALSE)</f>
        <v>-1</v>
      </c>
      <c r="E24" s="12">
        <f>VLOOKUP($A24, Dataset!$A:$T, 19, FALSE)</f>
        <v>-1</v>
      </c>
      <c r="F24" s="8">
        <f>VLOOKUP($A24, Dataset!$A:$V, 21, FALSE)</f>
        <v>-1</v>
      </c>
    </row>
    <row r="25" spans="1:6" ht="14.4">
      <c r="A25" s="7" t="s">
        <v>34</v>
      </c>
      <c r="B25" s="12">
        <f>VLOOKUP($A25, Dataset!$A:$H, 7, FALSE)</f>
        <v>43.3</v>
      </c>
      <c r="C25" s="12">
        <f>VLOOKUP($A25, Dataset!$A:$N, 13, FALSE)</f>
        <v>87.6</v>
      </c>
      <c r="D25" s="12">
        <f>VLOOKUP($A25, Dataset!$A:$Q, 16, FALSE)</f>
        <v>43.3</v>
      </c>
      <c r="E25" s="12">
        <f>VLOOKUP($A25, Dataset!$A:$T, 19, FALSE)</f>
        <v>128.6</v>
      </c>
      <c r="F25" s="8">
        <f>VLOOKUP($A25, Dataset!$A:$V, 21, FALSE)</f>
        <v>63.6</v>
      </c>
    </row>
    <row r="26" spans="1:6" ht="14.4">
      <c r="A26" s="7" t="s">
        <v>37</v>
      </c>
      <c r="B26" s="12">
        <f>VLOOKUP($A26, Dataset!$A:$H, 7, FALSE)</f>
        <v>49.1</v>
      </c>
      <c r="C26" s="12">
        <f>VLOOKUP($A26, Dataset!$A:$N, 13, FALSE)</f>
        <v>99.5</v>
      </c>
      <c r="D26" s="12">
        <f>VLOOKUP($A26, Dataset!$A:$Q, 16, FALSE)</f>
        <v>49.1</v>
      </c>
      <c r="E26" s="12">
        <f>VLOOKUP($A26, Dataset!$A:$T, 19, FALSE)</f>
        <v>146.80000000000001</v>
      </c>
      <c r="F26" s="8">
        <f>VLOOKUP($A26, Dataset!$A:$V, 21, FALSE)</f>
        <v>72.8</v>
      </c>
    </row>
    <row r="27" spans="1:6" ht="14.4">
      <c r="A27" s="7" t="s">
        <v>39</v>
      </c>
      <c r="B27" s="12">
        <f>VLOOKUP($A27, Dataset!$A:$H, 7, FALSE)</f>
        <v>51.8</v>
      </c>
      <c r="C27" s="12">
        <f>VLOOKUP($A27, Dataset!$A:$N, 13, FALSE)</f>
        <v>104.5</v>
      </c>
      <c r="D27" s="12">
        <f>VLOOKUP($A27, Dataset!$A:$Q, 16, FALSE)</f>
        <v>51.8</v>
      </c>
      <c r="E27" s="12">
        <f>VLOOKUP($A27, Dataset!$A:$T, 19, FALSE)</f>
        <v>156.4</v>
      </c>
      <c r="F27" s="8">
        <f>VLOOKUP($A27, Dataset!$A:$V, 21, FALSE)</f>
        <v>77.2</v>
      </c>
    </row>
    <row r="28" spans="1:6" ht="14.4">
      <c r="A28" s="19" t="s">
        <v>81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4.4">
      <c r="A29" s="19" t="s">
        <v>82</v>
      </c>
      <c r="B29" s="31">
        <f>MAX(B6:B27)</f>
        <v>51.8</v>
      </c>
      <c r="C29" s="31">
        <f>MAX(C6:C27)</f>
        <v>104.5</v>
      </c>
      <c r="D29" s="31">
        <f>MAX(D6:D27)</f>
        <v>51.8</v>
      </c>
      <c r="E29" s="31">
        <f>MAX(E6:E27)</f>
        <v>156.4</v>
      </c>
      <c r="F29" s="31">
        <f>MAX(F6:F27)</f>
        <v>77.2</v>
      </c>
    </row>
    <row r="30" spans="1:6" ht="14.4">
      <c r="A30" s="19" t="s">
        <v>83</v>
      </c>
      <c r="B30" s="31">
        <f>AVERAGE(B6:B27)</f>
        <v>20.827272727272728</v>
      </c>
      <c r="C30" s="31">
        <f>AVERAGE(C6:C27)</f>
        <v>42.209090909090904</v>
      </c>
      <c r="D30" s="31">
        <f>AVERAGE(D6:D27)</f>
        <v>20.827272727272728</v>
      </c>
      <c r="E30" s="31">
        <f>AVERAGE(E6:E27)</f>
        <v>62.377272727272725</v>
      </c>
      <c r="F30" s="31">
        <f>AVERAGE(F6:F27)</f>
        <v>30.831818181818186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24" zoomScaleNormal="100" workbookViewId="0">
      <selection activeCell="A6" sqref="A6"/>
    </sheetView>
  </sheetViews>
  <sheetFormatPr defaultColWidth="11" defaultRowHeight="14.4"/>
  <cols>
    <col min="1" max="1" width="39.77734375" style="1" bestFit="1" customWidth="1"/>
    <col min="2" max="2" width="14.21875" style="1" customWidth="1"/>
    <col min="3" max="16384" width="11" style="1"/>
  </cols>
  <sheetData>
    <row r="1" spans="1:10" s="41" customFormat="1" ht="21">
      <c r="A1" s="42" t="s">
        <v>55</v>
      </c>
      <c r="B1" s="41" t="s">
        <v>171</v>
      </c>
    </row>
    <row r="2" spans="1:10" customFormat="1" ht="13.2"/>
    <row r="3" spans="1:10" s="2" customFormat="1">
      <c r="B3" s="1"/>
    </row>
    <row r="4" spans="1:10" s="2" customFormat="1">
      <c r="B4" s="1" t="s">
        <v>149</v>
      </c>
    </row>
    <row r="5" spans="1:10" ht="18">
      <c r="A5" s="43" t="s">
        <v>175</v>
      </c>
      <c r="B5" s="40"/>
    </row>
    <row r="6" spans="1:10" ht="18">
      <c r="A6" s="43" t="s">
        <v>176</v>
      </c>
      <c r="B6" s="40"/>
    </row>
    <row r="7" spans="1:10" ht="18">
      <c r="A7" s="43"/>
      <c r="B7" s="40"/>
    </row>
    <row r="9" spans="1:10" ht="23.4">
      <c r="A9" s="18" t="s">
        <v>162</v>
      </c>
      <c r="I9" s="2"/>
      <c r="J9" s="2"/>
    </row>
    <row r="10" spans="1:10">
      <c r="A10" s="33" t="s">
        <v>101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53</v>
      </c>
      <c r="I10" s="2"/>
      <c r="J10" s="2"/>
    </row>
    <row r="11" spans="1:10">
      <c r="A11" s="9" t="s">
        <v>119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>
      <c r="A14" s="18" t="s">
        <v>159</v>
      </c>
    </row>
    <row r="15" spans="1:10">
      <c r="A15" s="14" t="s">
        <v>102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53</v>
      </c>
    </row>
    <row r="16" spans="1:10">
      <c r="A16" s="7" t="s">
        <v>119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>
      <c r="A17" s="7" t="s">
        <v>120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>
      <c r="A18" s="7" t="s">
        <v>121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>
      <c r="A19" s="7" t="s">
        <v>122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>
      <c r="A20" s="7" t="s">
        <v>123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>
      <c r="A21" s="7" t="s">
        <v>124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>
      <c r="A22" s="7" t="s">
        <v>125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>
      <c r="A23" s="7" t="s">
        <v>126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>
      <c r="A24" s="7" t="s">
        <v>127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>
      <c r="A25" s="7" t="s">
        <v>128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>
      <c r="A26" s="7" t="s">
        <v>129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>
      <c r="A27" s="7" t="s">
        <v>130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>
      <c r="A28" s="7" t="s">
        <v>131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>
      <c r="A29" s="7" t="s">
        <v>132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>
      <c r="A30" s="7" t="s">
        <v>133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>
      <c r="A31" s="7" t="s">
        <v>134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>
      <c r="A32" s="7" t="s">
        <v>135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>
      <c r="A33" s="7" t="s">
        <v>136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>
      <c r="A34" s="7" t="s">
        <v>137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>
      <c r="A35" s="7" t="s">
        <v>138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>
      <c r="A36" s="7" t="s">
        <v>139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>
      <c r="A37" s="7" t="s">
        <v>140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>
      <c r="A38" s="7" t="s">
        <v>141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>
      <c r="A39" s="7" t="s">
        <v>142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>
      <c r="A40" s="7" t="s">
        <v>143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>
      <c r="A41" s="7" t="s">
        <v>144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>
      <c r="A42" s="7" t="s">
        <v>145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>
      <c r="A43" s="7" t="s">
        <v>146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>
      <c r="A44" s="7" t="s">
        <v>147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>
      <c r="A45" s="7" t="s">
        <v>148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>
      <c r="A46" s="7" t="s">
        <v>110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>
      <c r="A47" s="7" t="s">
        <v>111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>
      <c r="A48" s="7" t="s">
        <v>112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>
      <c r="A49" s="7" t="s">
        <v>113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>
      <c r="A50" s="7" t="s">
        <v>114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>
      <c r="A51" s="7" t="s">
        <v>115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>
      <c r="A52" s="7" t="s">
        <v>116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>
      <c r="A53" s="7" t="s">
        <v>117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>
      <c r="A54" s="9" t="s">
        <v>118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2" zoomScaleNormal="100" workbookViewId="0">
      <selection activeCell="A7" sqref="A7"/>
    </sheetView>
  </sheetViews>
  <sheetFormatPr defaultColWidth="11" defaultRowHeight="13.8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>
      <c r="A1" s="42" t="s">
        <v>84</v>
      </c>
      <c r="B1" s="41" t="s">
        <v>164</v>
      </c>
    </row>
    <row r="2" spans="1:3" ht="18">
      <c r="B2" s="40" t="s">
        <v>163</v>
      </c>
    </row>
    <row r="5" spans="1:3" ht="14.4">
      <c r="B5" s="1" t="s">
        <v>149</v>
      </c>
    </row>
    <row r="6" spans="1:3" ht="14.4">
      <c r="A6" s="3" t="s">
        <v>177</v>
      </c>
      <c r="B6" s="1"/>
    </row>
    <row r="7" spans="1:3" ht="14.4">
      <c r="A7" s="3" t="s">
        <v>178</v>
      </c>
      <c r="B7" s="1"/>
    </row>
    <row r="10" spans="1:3" ht="23.4">
      <c r="A10" s="18" t="s">
        <v>159</v>
      </c>
    </row>
    <row r="11" spans="1:3" ht="14.4">
      <c r="A11" s="32" t="s">
        <v>85</v>
      </c>
      <c r="B11" s="17" t="s">
        <v>86</v>
      </c>
      <c r="C11" s="17" t="s">
        <v>87</v>
      </c>
    </row>
    <row r="12" spans="1:3" ht="14.4">
      <c r="A12" s="32">
        <v>44927</v>
      </c>
      <c r="B12" s="17" t="s">
        <v>58</v>
      </c>
      <c r="C12" s="17">
        <v>200</v>
      </c>
    </row>
    <row r="13" spans="1:3" ht="14.4">
      <c r="A13" s="32">
        <v>44928</v>
      </c>
      <c r="B13" s="17" t="s">
        <v>59</v>
      </c>
      <c r="C13" s="17" t="e">
        <v>#N/A</v>
      </c>
    </row>
    <row r="14" spans="1:3" ht="14.4">
      <c r="A14" s="32">
        <v>44929</v>
      </c>
      <c r="B14" s="17" t="s">
        <v>60</v>
      </c>
      <c r="C14" s="17">
        <v>50</v>
      </c>
    </row>
    <row r="15" spans="1:3" ht="14.4">
      <c r="A15" s="32">
        <v>44930</v>
      </c>
      <c r="B15" s="17" t="s">
        <v>61</v>
      </c>
      <c r="C15" s="17" t="e">
        <v>#N/A</v>
      </c>
    </row>
    <row r="16" spans="1:3" ht="14.4">
      <c r="A16" s="32">
        <v>44931</v>
      </c>
      <c r="B16" s="17" t="s">
        <v>62</v>
      </c>
      <c r="C16" s="17">
        <v>10</v>
      </c>
    </row>
    <row r="17" spans="1:3" ht="14.4">
      <c r="A17" s="32">
        <v>44932</v>
      </c>
      <c r="B17" s="17" t="s">
        <v>151</v>
      </c>
      <c r="C17" s="17">
        <v>150</v>
      </c>
    </row>
    <row r="18" spans="1:3" ht="14.4">
      <c r="A18" s="32">
        <v>44933</v>
      </c>
      <c r="B18" s="17" t="s">
        <v>152</v>
      </c>
      <c r="C18" s="17">
        <v>80</v>
      </c>
    </row>
    <row r="19" spans="1:3" ht="14.4">
      <c r="A19" s="32">
        <v>44934</v>
      </c>
      <c r="B19" s="17" t="s">
        <v>153</v>
      </c>
      <c r="C19" s="17" t="e">
        <v>#N/A</v>
      </c>
    </row>
    <row r="20" spans="1:3" ht="14.4">
      <c r="A20" s="32">
        <v>44935</v>
      </c>
      <c r="B20" s="17" t="s">
        <v>154</v>
      </c>
      <c r="C20" s="17">
        <v>30</v>
      </c>
    </row>
    <row r="21" spans="1:3" ht="14.4">
      <c r="A21" s="32">
        <v>44936</v>
      </c>
      <c r="B21" s="17" t="s">
        <v>155</v>
      </c>
      <c r="C21" s="17" t="e">
        <v>#N/A</v>
      </c>
    </row>
    <row r="22" spans="1:3" ht="14.4">
      <c r="B22" s="17" t="s">
        <v>156</v>
      </c>
      <c r="C22" s="47" cm="1">
        <f t="array" ref="C22">SUM(IFERROR(C12:C21, 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H6" sqref="H6"/>
    </sheetView>
  </sheetViews>
  <sheetFormatPr defaultColWidth="11" defaultRowHeight="13.8"/>
  <cols>
    <col min="1" max="1" width="28.21875" style="2" bestFit="1" customWidth="1"/>
    <col min="2" max="2" width="11" style="2"/>
    <col min="3" max="3" width="15.88671875" style="2" customWidth="1"/>
    <col min="4" max="16384" width="11" style="2"/>
  </cols>
  <sheetData>
    <row r="1" spans="1:14" ht="21">
      <c r="A1" s="42" t="s">
        <v>97</v>
      </c>
      <c r="B1" s="41" t="s">
        <v>172</v>
      </c>
    </row>
    <row r="3" spans="1:14" ht="14.4">
      <c r="B3" s="1" t="s">
        <v>149</v>
      </c>
    </row>
    <row r="4" spans="1:14" ht="18">
      <c r="A4" s="43" t="s">
        <v>179</v>
      </c>
      <c r="B4" s="1"/>
    </row>
    <row r="5" spans="1:14" ht="18">
      <c r="A5" s="43" t="s">
        <v>180</v>
      </c>
      <c r="B5" s="1"/>
    </row>
    <row r="6" spans="1:14" ht="14.4">
      <c r="A6" s="3"/>
      <c r="B6" s="1"/>
    </row>
    <row r="8" spans="1:14" ht="23.4">
      <c r="A8" s="18" t="s">
        <v>159</v>
      </c>
      <c r="M8" s="18" t="s">
        <v>160</v>
      </c>
    </row>
    <row r="9" spans="1:14" ht="14.4">
      <c r="A9" s="26"/>
      <c r="B9" s="26" t="s">
        <v>88</v>
      </c>
      <c r="C9" s="26" t="s">
        <v>89</v>
      </c>
      <c r="D9" s="26" t="s">
        <v>90</v>
      </c>
      <c r="E9" s="26" t="s">
        <v>91</v>
      </c>
      <c r="F9" s="26" t="s">
        <v>92</v>
      </c>
      <c r="G9" s="26" t="s">
        <v>93</v>
      </c>
      <c r="H9" s="26" t="s">
        <v>94</v>
      </c>
      <c r="I9" s="26" t="s">
        <v>95</v>
      </c>
      <c r="J9" s="26" t="s">
        <v>96</v>
      </c>
      <c r="M9" s="19" t="s">
        <v>43</v>
      </c>
      <c r="N9" s="19" t="s">
        <v>98</v>
      </c>
    </row>
    <row r="10" spans="1:14" ht="14.4">
      <c r="A10" s="26" t="s">
        <v>88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88</v>
      </c>
    </row>
    <row r="11" spans="1:14" ht="14.4">
      <c r="A11" s="26" t="s">
        <v>89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89</v>
      </c>
    </row>
    <row r="12" spans="1:14" ht="14.4">
      <c r="A12" s="26" t="s">
        <v>90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90</v>
      </c>
    </row>
    <row r="13" spans="1:14" ht="14.4">
      <c r="A13" s="26" t="s">
        <v>91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91</v>
      </c>
    </row>
    <row r="14" spans="1:14" ht="14.4">
      <c r="A14" s="26" t="s">
        <v>92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92</v>
      </c>
    </row>
    <row r="15" spans="1:14" ht="14.4">
      <c r="A15" s="26" t="s">
        <v>93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93</v>
      </c>
    </row>
    <row r="16" spans="1:14" ht="14.4">
      <c r="A16" s="26" t="s">
        <v>94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94</v>
      </c>
    </row>
    <row r="17" spans="1:14" ht="14.4">
      <c r="A17" s="26" t="s">
        <v>95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95</v>
      </c>
    </row>
    <row r="18" spans="1:14" ht="14.4">
      <c r="A18" s="26" t="s">
        <v>96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96</v>
      </c>
    </row>
    <row r="21" spans="1:14" ht="23.4">
      <c r="A21" s="18" t="s">
        <v>165</v>
      </c>
    </row>
    <row r="22" spans="1:14" ht="14.4">
      <c r="A22" s="14" t="s">
        <v>99</v>
      </c>
      <c r="B22" s="17" t="s">
        <v>100</v>
      </c>
      <c r="C22" s="16" t="s">
        <v>101</v>
      </c>
    </row>
    <row r="23" spans="1:14" ht="14.4">
      <c r="A23" s="7">
        <v>10100</v>
      </c>
      <c r="B23" s="12">
        <v>10102</v>
      </c>
      <c r="C23" s="44">
        <f>INDEX(A10:J18, MATCH(TRIM(VLOOKUP(A23, M10:N18, 2, FALSE)), A10:A18, 0), MATCH(TRIM(VLOOKUP(B23, M10:N18, 2, FALSE)), B9:J9, 0))</f>
        <v>-1</v>
      </c>
    </row>
    <row r="24" spans="1:14" ht="14.4">
      <c r="A24" s="7">
        <v>10100</v>
      </c>
      <c r="B24" s="12">
        <v>10104</v>
      </c>
      <c r="C24" s="44">
        <f>INDEX(A10:J18, MATCH(TRIM(VLOOKUP(A24, M10:N18, 2, FALSE)), A10:A18, 0), MATCH(TRIM(VLOOKUP(B24, M10:N18, 2, FALSE)), B9:J9, 0))</f>
        <v>95</v>
      </c>
    </row>
    <row r="25" spans="1:14" ht="14.4">
      <c r="A25" s="7">
        <v>10108</v>
      </c>
      <c r="B25" s="12">
        <v>10102</v>
      </c>
      <c r="C25" s="44">
        <f>INDEX(A10:J18, MATCH(TRIM(VLOOKUP(A25, M10:N18, 2, FALSE)), A10:A18, 0), MATCH(TRIM(VLOOKUP(B25, M10:N18, 2, FALSE)), B9:J9, 0))</f>
        <v>255</v>
      </c>
    </row>
    <row r="26" spans="1:14" ht="14.4">
      <c r="A26" s="7">
        <v>10100</v>
      </c>
      <c r="B26" s="12">
        <v>10106</v>
      </c>
      <c r="C26" s="44">
        <f>INDEX(A10:J18, MATCH(TRIM(VLOOKUP(A26, M10:N18, 2, FALSE)), A10:A18, 0), MATCH(TRIM(VLOOKUP(B26, M10:N18, 2, FALSE)), B9:J9, 0))</f>
        <v>-1</v>
      </c>
    </row>
    <row r="27" spans="1:14" ht="14.4">
      <c r="A27" s="7">
        <v>10108</v>
      </c>
      <c r="B27" s="12">
        <v>10110</v>
      </c>
      <c r="C27" s="44">
        <f>INDEX(A10:J18, MATCH(TRIM(VLOOKUP(A27, M10:N18, 2, FALSE)), A10:A18, 0), MATCH(TRIM(VLOOKUP(B27, M10:N18, 2, FALSE)), B9:J9, 0))</f>
        <v>-1</v>
      </c>
    </row>
    <row r="28" spans="1:14" ht="14.4">
      <c r="A28" s="7">
        <v>10102</v>
      </c>
      <c r="B28" s="12">
        <v>10104</v>
      </c>
      <c r="C28" s="44">
        <f>INDEX(A10:J18, MATCH(TRIM(VLOOKUP(A28, M10:N18, 2, FALSE)), A10:A18, 0), MATCH(TRIM(VLOOKUP(B28, M10:N18, 2, FALSE)), B9:J9, 0))</f>
        <v>-1</v>
      </c>
    </row>
    <row r="29" spans="1:14" ht="14.4">
      <c r="A29" s="7">
        <v>10106</v>
      </c>
      <c r="B29" s="12">
        <v>10108</v>
      </c>
      <c r="C29" s="44">
        <f>INDEX(A10:J18, MATCH(TRIM(VLOOKUP(A29, M10:N18, 2, FALSE)), A10:A18, 0), MATCH(TRIM(VLOOKUP(B29, M10:N18, 2, FALSE)), B9:J9, 0))</f>
        <v>-1</v>
      </c>
    </row>
    <row r="30" spans="1:14" ht="14.4">
      <c r="A30" s="7">
        <v>10102</v>
      </c>
      <c r="B30" s="12">
        <v>10106</v>
      </c>
      <c r="C30" s="44">
        <f>INDEX(A10:J18, MATCH(TRIM(VLOOKUP(A30, M10:N18, 2, FALSE)), A10:A18, 0), MATCH(TRIM(VLOOKUP(B30, M10:N18, 2, FALSE)), B9:J9, 0))</f>
        <v>-1</v>
      </c>
    </row>
    <row r="31" spans="1:14" ht="14.4">
      <c r="A31" s="7">
        <v>10110</v>
      </c>
      <c r="B31" s="12">
        <v>10114</v>
      </c>
      <c r="C31" s="44">
        <f>INDEX(A10:J18, MATCH(TRIM(VLOOKUP(A31, M10:N18, 2, FALSE)), A10:A18, 0), MATCH(TRIM(VLOOKUP(B31, M10:N18, 2, FALSE)), B9:J9, 0))</f>
        <v>115</v>
      </c>
    </row>
    <row r="32" spans="1:14" ht="14.4">
      <c r="A32" s="7">
        <v>10104</v>
      </c>
      <c r="B32" s="12">
        <v>10106</v>
      </c>
      <c r="C32" s="44">
        <f>INDEX(A10:J18, MATCH(TRIM(VLOOKUP(A32, M10:N18, 2, FALSE)), A10:A18, 0), MATCH(TRIM(VLOOKUP(B32, M10:N18, 2, FALSE)), B9:J9, 0))</f>
        <v>-1</v>
      </c>
    </row>
    <row r="33" spans="1:3" ht="14.4">
      <c r="A33" s="7">
        <v>10110</v>
      </c>
      <c r="B33" s="12">
        <v>10112</v>
      </c>
      <c r="C33" s="44">
        <f>INDEX(A10:J18, MATCH(TRIM(VLOOKUP(A33, M10:N18, 2, FALSE)), A10:A18, 0), MATCH(TRIM(VLOOKUP(B33, M10:N18, 2, FALSE)), B9:J9, 0))</f>
        <v>-1</v>
      </c>
    </row>
    <row r="34" spans="1:3" ht="14.4">
      <c r="A34" s="7">
        <v>10100</v>
      </c>
      <c r="B34" s="12">
        <v>10114</v>
      </c>
      <c r="C34" s="44">
        <f>INDEX(A10:J18, MATCH(TRIM(VLOOKUP(A34, M10:N18, 2, FALSE)), A10:A18, 0), MATCH(TRIM(VLOOKUP(B34, M10:N18, 2, FALSE)), B9:J9, 0))</f>
        <v>415</v>
      </c>
    </row>
    <row r="35" spans="1:3" ht="14.4">
      <c r="A35" s="9">
        <v>10112</v>
      </c>
      <c r="B35" s="13">
        <v>10116</v>
      </c>
      <c r="C35" s="44">
        <f>INDEX(A10:J18, MATCH(TRIM(VLOOKUP(A35, M10:N18, 2, FALSE)), A10:A18, 0), MATCH(TRIM(VLOOKUP(B35, M10:N18, 2, FALSE)), B9:J9, 0))</f>
        <v>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syed shabaz hyder</cp:lastModifiedBy>
  <dcterms:created xsi:type="dcterms:W3CDTF">2015-02-10T17:33:11Z</dcterms:created>
  <dcterms:modified xsi:type="dcterms:W3CDTF">2024-10-21T14:26:42Z</dcterms:modified>
</cp:coreProperties>
</file>